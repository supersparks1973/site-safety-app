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ianpateman/Desktop/"/>
    </mc:Choice>
  </mc:AlternateContent>
  <xr:revisionPtr revIDLastSave="0" documentId="8_{BBA37460-4DD0-864C-9639-DD577D996E39}" xr6:coauthVersionLast="47" xr6:coauthVersionMax="47" xr10:uidLastSave="{00000000-0000-0000-0000-000000000000}"/>
  <bookViews>
    <workbookView xWindow="0" yWindow="680" windowWidth="32960" windowHeight="14020" tabRatio="500" activeTab="1" xr2:uid="{00000000-000D-0000-FFFF-FFFF00000000}"/>
  </bookViews>
  <sheets>
    <sheet name="Register" sheetId="1" r:id="rId1"/>
    <sheet name="Inspection Checklist" sheetId="2" r:id="rId2"/>
    <sheet name="Guidance" sheetId="3" r:id="rId3"/>
  </sheets>
  <definedNames>
    <definedName name="_xlnm._FilterDatabase" localSheetId="0" hidden="1">Register!$A$4:$P$64</definedName>
    <definedName name="_xlnm.Print_Area" localSheetId="2">Guidance!$A$1:$A$18</definedName>
    <definedName name="_xlnm.Print_Area" localSheetId="1">'Inspection Checklist'!$A$1:$L$53</definedName>
    <definedName name="_xlnm.Print_Area" localSheetId="0">Register!$A$1:$P$66</definedName>
    <definedName name="_xlnm.Print_Titles" localSheetId="1">'Inspection Checklist'!$11:$11</definedName>
    <definedName name="_xlnm.Print_Titles" localSheetId="0">Register!$4:$4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64" i="1" l="1"/>
  <c r="M64" i="1" s="1"/>
  <c r="L63" i="1"/>
  <c r="M63" i="1" s="1"/>
  <c r="L62" i="1"/>
  <c r="M62" i="1" s="1"/>
  <c r="M61" i="1"/>
  <c r="L61" i="1"/>
  <c r="L60" i="1"/>
  <c r="M60" i="1" s="1"/>
  <c r="L59" i="1"/>
  <c r="M59" i="1" s="1"/>
  <c r="L58" i="1"/>
  <c r="M58" i="1" s="1"/>
  <c r="M57" i="1"/>
  <c r="L57" i="1"/>
  <c r="L56" i="1"/>
  <c r="M56" i="1" s="1"/>
  <c r="L55" i="1"/>
  <c r="M55" i="1" s="1"/>
  <c r="L54" i="1"/>
  <c r="M54" i="1" s="1"/>
  <c r="M53" i="1"/>
  <c r="L53" i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M9" i="1"/>
  <c r="L9" i="1"/>
  <c r="L8" i="1"/>
  <c r="M8" i="1" s="1"/>
  <c r="L7" i="1"/>
  <c r="M7" i="1" s="1"/>
  <c r="L6" i="1"/>
  <c r="M6" i="1" s="1"/>
  <c r="M5" i="1"/>
  <c r="L5" i="1"/>
</calcChain>
</file>

<file path=xl/sharedStrings.xml><?xml version="1.0" encoding="utf-8"?>
<sst xmlns="http://schemas.openxmlformats.org/spreadsheetml/2006/main" count="103" uniqueCount="98">
  <si>
    <t>MAN PROJECTS — HARNESS &amp; LANYARD REGISTER</t>
  </si>
  <si>
    <t>Thorough examination interval: 6 months (BS EN 365 / LOLER 1998 where lifting persons). Pre-use checks required before each use. Quarantine and withdraw any item that fails inspection.</t>
  </si>
  <si>
    <t>Item ID</t>
  </si>
  <si>
    <t>Equipment Type</t>
  </si>
  <si>
    <t>Manufacturer</t>
  </si>
  <si>
    <t>Model</t>
  </si>
  <si>
    <t>Serial No.</t>
  </si>
  <si>
    <t>Standard</t>
  </si>
  <si>
    <t>Date of Manufacture</t>
  </si>
  <si>
    <t>Date of First Use</t>
  </si>
  <si>
    <t>Assigned To / Location</t>
  </si>
  <si>
    <t>Last Inspection Date</t>
  </si>
  <si>
    <t>Interval (months)</t>
  </si>
  <si>
    <t>Next Inspection Due</t>
  </si>
  <si>
    <t>Days Until Due</t>
  </si>
  <si>
    <t>Inspection Result</t>
  </si>
  <si>
    <t>Status</t>
  </si>
  <si>
    <t>Comments / Defects</t>
  </si>
  <si>
    <t>MP-H001</t>
  </si>
  <si>
    <t>Full Body Harness</t>
  </si>
  <si>
    <t>Petzl</t>
  </si>
  <si>
    <t>AVAO BOD</t>
  </si>
  <si>
    <t>23A0123456</t>
  </si>
  <si>
    <t>EN 361</t>
  </si>
  <si>
    <t>J. Smith / Site A</t>
  </si>
  <si>
    <t>Pass</t>
  </si>
  <si>
    <t>In Service</t>
  </si>
  <si>
    <t>Example — overwrite with own data</t>
  </si>
  <si>
    <t>Key:</t>
  </si>
  <si>
    <t>Overdue inspection</t>
  </si>
  <si>
    <t>Due within 30 days</t>
  </si>
  <si>
    <t>MAN PROJECTS — HARNESS &amp; LANYARD DETAILED INSPECTION CHECKLIST</t>
  </si>
  <si>
    <t>Complete one checklist per item at each thorough examination (max 6-monthly) and record the outcome in the Register sheet. Any FAIL = quarantine the item immediately.</t>
  </si>
  <si>
    <t>Manufacturer / Model</t>
  </si>
  <si>
    <t>Date of Inspection</t>
  </si>
  <si>
    <t>Inspected By</t>
  </si>
  <si>
    <t>Component</t>
  </si>
  <si>
    <t>What to check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</si>
  <si>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</si>
  <si>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</si>
  <si>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</si>
  <si>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</si>
  <si>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</si>
  <si>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</si>
  <si>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</si>
  <si>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</si>
  <si>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</si>
  <si>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</si>
  <si>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WEBBING &amp; STRAPS</t>
  </si>
  <si>
    <t>Cuts, nicks, tears, abrasion or fraying</t>
  </si>
  <si>
    <t>Burns, heat damage, friction glazing or discolouration</t>
  </si>
  <si>
    <t>Chemical damage, paint contamination or staining</t>
  </si>
  <si>
    <t>UV degradation (fading, powdery/brittle surface)</t>
  </si>
  <si>
    <t>Mould, mildew or rot</t>
  </si>
  <si>
    <t>Excessive stretching or deformation</t>
  </si>
  <si>
    <t>STITCHING</t>
  </si>
  <si>
    <t>Broken, cut, pulled or abraded stitches</t>
  </si>
  <si>
    <t>Loose or missing threads at load-bearing seams</t>
  </si>
  <si>
    <t>Damage or discolouration of stitching pattern</t>
  </si>
  <si>
    <t>METAL COMPONENTS (buckles, D-rings, adjusters)</t>
  </si>
  <si>
    <t>Cracks, distortion, sharp edges or burrs</t>
  </si>
  <si>
    <t>Corrosion, rust or pitting</t>
  </si>
  <si>
    <t>Correct buckle function — engages and locks securely</t>
  </si>
  <si>
    <t>D-rings free from wear grooves and deformation</t>
  </si>
  <si>
    <t>CONNECTORS / KARABINERS (EN 362)</t>
  </si>
  <si>
    <t>Gate opens, closes and locks correctly (self-locking action)</t>
  </si>
  <si>
    <t>No distortion, cracks or corrosion of body or gate</t>
  </si>
  <si>
    <t>Rivets/hinge pins secure, no excessive play</t>
  </si>
  <si>
    <t>ENERGY ABSORBER (fall arrest lanyards, EN 355)</t>
  </si>
  <si>
    <t>Pouch/cover intact — no signs of deployment or activation</t>
  </si>
  <si>
    <t>Tell-tale / deployment indicator not triggered</t>
  </si>
  <si>
    <t>No damage to outer cover or stitched tear-ply visible</t>
  </si>
  <si>
    <t>ROPE / KERNMANTEL LANYARD ELEMENTS</t>
  </si>
  <si>
    <t>No cuts, flat spots, soft spots, lumps or core exposure</t>
  </si>
  <si>
    <t>Splices/terminations intact and secure</t>
  </si>
  <si>
    <t>Ferrules/thimbles free from damage and corrosion</t>
  </si>
  <si>
    <t>LABELS &amp; MARKINGS</t>
  </si>
  <si>
    <t>ID/serial label present and legible</t>
  </si>
  <si>
    <t>CE / UKCA marking and EN standard legible</t>
  </si>
  <si>
    <t>Date of manufacture legible; item within manufacturer's service life</t>
  </si>
  <si>
    <t>FUNCTION &amp; FIT (harnesses)</t>
  </si>
  <si>
    <t>All adjusters operate through full range and hold position</t>
  </si>
  <si>
    <t>Attachment points (dorsal/sternal) undamaged and secure</t>
  </si>
  <si>
    <t>Elasticated keepers/comfort padding serviceable</t>
  </si>
  <si>
    <t>OVERALL RESULT (PASS / FAIL / MONITOR)</t>
  </si>
  <si>
    <t>Inspector signature:</t>
  </si>
  <si>
    <t>GUIDANCE NOTES</t>
  </si>
  <si>
    <t>Inspection regime for harnesses and lanyards (work at height PPE):</t>
  </si>
  <si>
    <t>• Pre-use check — by the user, before each use. Visual and tactile check of the whole item.</t>
  </si>
  <si>
    <t>• Detailed / thorough examination — by a competent person at intervals not exceeding 6 months (3 months in arduous conditions), recorded on the Inspection Checklist sheet and logged in the Register.</t>
  </si>
  <si>
    <t>• Interim inspections — where risk assessment identifies conditions causing accelerated deterioration (e.g. hot works, chemicals, grit blasting).</t>
  </si>
  <si>
    <t>Key rules:</t>
  </si>
  <si>
    <t>• Any item that has arrested a fall must be withdrawn from service immediately.</t>
  </si>
  <si>
    <t>• Any item that fails inspection must be quarantined so it cannot be used, then destroyed or returned to the manufacturer.</t>
  </si>
  <si>
    <t>• Do not exceed the manufacturer's stated service life (commonly 10 years from date of manufacture for textile items — check the user instructions).</t>
  </si>
  <si>
    <t>• Keep manufacturer instructions with this register. Record every thorough examination.</t>
  </si>
  <si>
    <t>Relevant standards &amp; legislation: Work at Height Regulations 2005; LOLER 1998 (where equipment lifts/lowers persons); PUWER 1998; BS EN 365 (marking &amp; periodic examination); BS 8437; INDG367 'Inspecting fall arrest equipment made from webbing or rope' (HSE).</t>
  </si>
  <si>
    <t>Register sheet: 'Next Inspection Due' and 'Days Until Due' calculate automatically from the Last Inspection Date and interval. Rows highlight amber when due within 30 days and red when overdue.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</si>
</sst>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7" fillId="0" borderId="1" xfId="0" applyFont="1" applyBorder="1" applyAlignment="1">
      <alignment vertical="center" wrapText="1"/>
    </xf>
    <xf numFmtId="0" fontId="7" fillId="6" borderId="1" xfId="0" applyFont="1" applyFill="1" applyBorder="1"/>
    <xf numFmtId="0" fontId="7" fillId="0" borderId="1" xfId="0" applyFont="1" applyBorder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6" fillId="3" borderId="0" xfId="0" applyFont="1" applyFill="1"/>
    <xf numFmtId="0" fontId="6" fillId="4" borderId="0" xfId="0" applyFont="1" applyFill="1"/>
    <xf numFmtId="0" fontId="6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D1D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1134720</xdr:colOff>
      <xdr:row>1</xdr:row>
      <xdr:rowOff>85680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980720" cy="780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1980720</xdr:colOff>
      <xdr:row>1</xdr:row>
      <xdr:rowOff>85680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980720" cy="780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1980720</xdr:colOff>
      <xdr:row>0</xdr:row>
      <xdr:rowOff>780840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980720" cy="780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P66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22" customWidth="1"/>
    <col min="3" max="4" width="17" customWidth="1"/>
    <col min="5" max="5" width="15" customWidth="1"/>
    <col min="6" max="6" width="13" customWidth="1"/>
    <col min="7" max="7" width="15" customWidth="1"/>
    <col min="8" max="8" width="14" customWidth="1"/>
    <col min="9" max="9" width="23" customWidth="1"/>
    <col min="10" max="10" width="15" customWidth="1"/>
    <col min="11" max="11" width="12" customWidth="1"/>
    <col min="12" max="12" width="15" customWidth="1"/>
    <col min="13" max="13" width="12" customWidth="1"/>
    <col min="14" max="14" width="14" customWidth="1"/>
    <col min="15" max="15" width="15" customWidth="1"/>
    <col min="16" max="16" width="32" customWidth="1"/>
  </cols>
  <sheetData>
    <row r="1" spans="1:16" ht="54.75" customHeight="1" x14ac:dyDescent="0.2">
      <c r="D1" s="7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">
      <c r="D2" s="6" t="s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spans="1:16" ht="48" customHeight="1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</row>
    <row r="5" spans="1:16" x14ac:dyDescent="0.2">
      <c r="A5" s="9" t="s">
        <v>18</v>
      </c>
      <c r="B5" s="9" t="s">
        <v>19</v>
      </c>
      <c r="C5" s="9" t="s">
        <v>20</v>
      </c>
      <c r="D5" s="9" t="s">
        <v>21</v>
      </c>
      <c r="E5" s="9" t="s">
        <v>22</v>
      </c>
      <c r="F5" s="9" t="s">
        <v>23</v>
      </c>
      <c r="G5" s="10">
        <v>45366</v>
      </c>
      <c r="H5" s="10">
        <v>45413</v>
      </c>
      <c r="I5" s="9" t="s">
        <v>24</v>
      </c>
      <c r="J5" s="10">
        <v>46154</v>
      </c>
      <c r="K5" s="11">
        <v>6</v>
      </c>
      <c r="L5" s="10">
        <f t="shared" ref="L5:L36" si="0">IF(OR(J5="",K5=""),"",EDATE(J5,K5))</f>
        <v>46338</v>
      </c>
      <c r="M5" s="12">
        <f t="shared" ref="M5:M36" ca="1" si="1">IF(L5="","",L5-TODAY())</f>
        <v>130</v>
      </c>
      <c r="N5" s="9" t="s">
        <v>25</v>
      </c>
      <c r="O5" s="9" t="s">
        <v>26</v>
      </c>
      <c r="P5" s="13" t="s">
        <v>27</v>
      </c>
    </row>
    <row r="6" spans="1:16" x14ac:dyDescent="0.2">
      <c r="A6" s="9"/>
      <c r="B6" s="9"/>
      <c r="C6" s="9"/>
      <c r="D6" s="9"/>
      <c r="E6" s="9"/>
      <c r="F6" s="9"/>
      <c r="G6" s="10"/>
      <c r="H6" s="10"/>
      <c r="I6" s="9"/>
      <c r="J6" s="10"/>
      <c r="K6" s="11"/>
      <c r="L6" s="10" t="str">
        <f t="shared" si="0"/>
        <v/>
      </c>
      <c r="M6" s="12" t="str">
        <f t="shared" ca="1" si="1"/>
        <v/>
      </c>
      <c r="N6" s="9"/>
      <c r="O6" s="9"/>
      <c r="P6" s="13"/>
    </row>
    <row r="7" spans="1:16" x14ac:dyDescent="0.2">
      <c r="A7" s="9"/>
      <c r="B7" s="9"/>
      <c r="C7" s="9"/>
      <c r="D7" s="9"/>
      <c r="E7" s="9"/>
      <c r="F7" s="9"/>
      <c r="G7" s="10"/>
      <c r="H7" s="10"/>
      <c r="I7" s="9"/>
      <c r="J7" s="10"/>
      <c r="K7" s="11"/>
      <c r="L7" s="10" t="str">
        <f t="shared" si="0"/>
        <v/>
      </c>
      <c r="M7" s="12" t="str">
        <f t="shared" ca="1" si="1"/>
        <v/>
      </c>
      <c r="N7" s="9"/>
      <c r="O7" s="9"/>
      <c r="P7" s="13"/>
    </row>
    <row r="8" spans="1:16" x14ac:dyDescent="0.2">
      <c r="A8" s="9"/>
      <c r="B8" s="9"/>
      <c r="C8" s="9"/>
      <c r="D8" s="9"/>
      <c r="E8" s="9"/>
      <c r="F8" s="9"/>
      <c r="G8" s="10"/>
      <c r="H8" s="10"/>
      <c r="I8" s="9"/>
      <c r="J8" s="10"/>
      <c r="K8" s="11"/>
      <c r="L8" s="10" t="str">
        <f t="shared" si="0"/>
        <v/>
      </c>
      <c r="M8" s="12" t="str">
        <f t="shared" ca="1" si="1"/>
        <v/>
      </c>
      <c r="N8" s="9"/>
      <c r="O8" s="9"/>
      <c r="P8" s="13"/>
    </row>
    <row r="9" spans="1:16" x14ac:dyDescent="0.2">
      <c r="A9" s="9"/>
      <c r="B9" s="9"/>
      <c r="C9" s="9"/>
      <c r="D9" s="9"/>
      <c r="E9" s="9"/>
      <c r="F9" s="9"/>
      <c r="G9" s="10"/>
      <c r="H9" s="10"/>
      <c r="I9" s="9"/>
      <c r="J9" s="10"/>
      <c r="K9" s="11"/>
      <c r="L9" s="10" t="str">
        <f t="shared" si="0"/>
        <v/>
      </c>
      <c r="M9" s="12" t="str">
        <f t="shared" ca="1" si="1"/>
        <v/>
      </c>
      <c r="N9" s="9"/>
      <c r="O9" s="9"/>
      <c r="P9" s="13"/>
    </row>
    <row r="10" spans="1:16" x14ac:dyDescent="0.2">
      <c r="A10" s="9"/>
      <c r="B10" s="9"/>
      <c r="C10" s="9"/>
      <c r="D10" s="9"/>
      <c r="E10" s="9"/>
      <c r="F10" s="9"/>
      <c r="G10" s="10"/>
      <c r="H10" s="10"/>
      <c r="I10" s="9"/>
      <c r="J10" s="10"/>
      <c r="K10" s="11"/>
      <c r="L10" s="10" t="str">
        <f t="shared" si="0"/>
        <v/>
      </c>
      <c r="M10" s="12" t="str">
        <f t="shared" ca="1" si="1"/>
        <v/>
      </c>
      <c r="N10" s="9"/>
      <c r="O10" s="9"/>
      <c r="P10" s="13"/>
    </row>
    <row r="11" spans="1:16" x14ac:dyDescent="0.2">
      <c r="A11" s="9"/>
      <c r="B11" s="9"/>
      <c r="C11" s="9"/>
      <c r="D11" s="9"/>
      <c r="E11" s="9"/>
      <c r="F11" s="9"/>
      <c r="G11" s="10"/>
      <c r="H11" s="10"/>
      <c r="I11" s="9"/>
      <c r="J11" s="10"/>
      <c r="K11" s="11"/>
      <c r="L11" s="10" t="str">
        <f t="shared" si="0"/>
        <v/>
      </c>
      <c r="M11" s="12" t="str">
        <f t="shared" ca="1" si="1"/>
        <v/>
      </c>
      <c r="N11" s="9"/>
      <c r="O11" s="9"/>
      <c r="P11" s="13"/>
    </row>
    <row r="12" spans="1:16" x14ac:dyDescent="0.2">
      <c r="A12" s="9"/>
      <c r="B12" s="9"/>
      <c r="C12" s="9"/>
      <c r="D12" s="9"/>
      <c r="E12" s="9"/>
      <c r="F12" s="9"/>
      <c r="G12" s="10"/>
      <c r="H12" s="10"/>
      <c r="I12" s="9"/>
      <c r="J12" s="10"/>
      <c r="K12" s="11"/>
      <c r="L12" s="10" t="str">
        <f t="shared" si="0"/>
        <v/>
      </c>
      <c r="M12" s="12" t="str">
        <f t="shared" ca="1" si="1"/>
        <v/>
      </c>
      <c r="N12" s="9"/>
      <c r="O12" s="9"/>
      <c r="P12" s="13"/>
    </row>
    <row r="13" spans="1:16" x14ac:dyDescent="0.2">
      <c r="A13" s="9"/>
      <c r="B13" s="9"/>
      <c r="C13" s="9"/>
      <c r="D13" s="9"/>
      <c r="E13" s="9"/>
      <c r="F13" s="9"/>
      <c r="G13" s="10"/>
      <c r="H13" s="10"/>
      <c r="I13" s="9"/>
      <c r="J13" s="10"/>
      <c r="K13" s="11"/>
      <c r="L13" s="10" t="str">
        <f t="shared" si="0"/>
        <v/>
      </c>
      <c r="M13" s="12" t="str">
        <f t="shared" ca="1" si="1"/>
        <v/>
      </c>
      <c r="N13" s="9"/>
      <c r="O13" s="9"/>
      <c r="P13" s="13"/>
    </row>
    <row r="14" spans="1:16" x14ac:dyDescent="0.2">
      <c r="A14" s="9"/>
      <c r="B14" s="9"/>
      <c r="C14" s="9"/>
      <c r="D14" s="9"/>
      <c r="E14" s="9"/>
      <c r="F14" s="9"/>
      <c r="G14" s="10"/>
      <c r="H14" s="10"/>
      <c r="I14" s="9"/>
      <c r="J14" s="10"/>
      <c r="K14" s="11"/>
      <c r="L14" s="10" t="str">
        <f t="shared" si="0"/>
        <v/>
      </c>
      <c r="M14" s="12" t="str">
        <f t="shared" ca="1" si="1"/>
        <v/>
      </c>
      <c r="N14" s="9"/>
      <c r="O14" s="9"/>
      <c r="P14" s="13"/>
    </row>
    <row r="15" spans="1:16" x14ac:dyDescent="0.2">
      <c r="A15" s="9"/>
      <c r="B15" s="9"/>
      <c r="C15" s="9"/>
      <c r="D15" s="9"/>
      <c r="E15" s="9"/>
      <c r="F15" s="9"/>
      <c r="G15" s="10"/>
      <c r="H15" s="10"/>
      <c r="I15" s="9"/>
      <c r="J15" s="10"/>
      <c r="K15" s="11"/>
      <c r="L15" s="10" t="str">
        <f t="shared" si="0"/>
        <v/>
      </c>
      <c r="M15" s="12" t="str">
        <f t="shared" ca="1" si="1"/>
        <v/>
      </c>
      <c r="N15" s="9"/>
      <c r="O15" s="9"/>
      <c r="P15" s="13"/>
    </row>
    <row r="16" spans="1:16" x14ac:dyDescent="0.2">
      <c r="A16" s="9"/>
      <c r="B16" s="9"/>
      <c r="C16" s="9"/>
      <c r="D16" s="9"/>
      <c r="E16" s="9"/>
      <c r="F16" s="9"/>
      <c r="G16" s="10"/>
      <c r="H16" s="10"/>
      <c r="I16" s="9"/>
      <c r="J16" s="10"/>
      <c r="K16" s="11"/>
      <c r="L16" s="10" t="str">
        <f t="shared" si="0"/>
        <v/>
      </c>
      <c r="M16" s="12" t="str">
        <f t="shared" ca="1" si="1"/>
        <v/>
      </c>
      <c r="N16" s="9"/>
      <c r="O16" s="9"/>
      <c r="P16" s="13"/>
    </row>
    <row r="17" spans="1:16" x14ac:dyDescent="0.2">
      <c r="A17" s="9"/>
      <c r="B17" s="9"/>
      <c r="C17" s="9"/>
      <c r="D17" s="9"/>
      <c r="E17" s="9"/>
      <c r="F17" s="9"/>
      <c r="G17" s="10"/>
      <c r="H17" s="10"/>
      <c r="I17" s="9"/>
      <c r="J17" s="10"/>
      <c r="K17" s="11"/>
      <c r="L17" s="10" t="str">
        <f t="shared" si="0"/>
        <v/>
      </c>
      <c r="M17" s="12" t="str">
        <f t="shared" ca="1" si="1"/>
        <v/>
      </c>
      <c r="N17" s="9"/>
      <c r="O17" s="9"/>
      <c r="P17" s="13"/>
    </row>
    <row r="18" spans="1:16" x14ac:dyDescent="0.2">
      <c r="A18" s="9"/>
      <c r="B18" s="9"/>
      <c r="C18" s="9"/>
      <c r="D18" s="9"/>
      <c r="E18" s="9"/>
      <c r="F18" s="9"/>
      <c r="G18" s="10"/>
      <c r="H18" s="10"/>
      <c r="I18" s="9"/>
      <c r="J18" s="10"/>
      <c r="K18" s="11"/>
      <c r="L18" s="10" t="str">
        <f t="shared" si="0"/>
        <v/>
      </c>
      <c r="M18" s="12" t="str">
        <f t="shared" ca="1" si="1"/>
        <v/>
      </c>
      <c r="N18" s="9"/>
      <c r="O18" s="9"/>
      <c r="P18" s="13"/>
    </row>
    <row r="19" spans="1:16" x14ac:dyDescent="0.2">
      <c r="A19" s="9"/>
      <c r="B19" s="9"/>
      <c r="C19" s="9"/>
      <c r="D19" s="9"/>
      <c r="E19" s="9"/>
      <c r="F19" s="9"/>
      <c r="G19" s="10"/>
      <c r="H19" s="10"/>
      <c r="I19" s="9"/>
      <c r="J19" s="10"/>
      <c r="K19" s="11"/>
      <c r="L19" s="10" t="str">
        <f t="shared" si="0"/>
        <v/>
      </c>
      <c r="M19" s="12" t="str">
        <f t="shared" ca="1" si="1"/>
        <v/>
      </c>
      <c r="N19" s="9"/>
      <c r="O19" s="9"/>
      <c r="P19" s="13"/>
    </row>
    <row r="20" spans="1:16" x14ac:dyDescent="0.2">
      <c r="A20" s="9"/>
      <c r="B20" s="9"/>
      <c r="C20" s="9"/>
      <c r="D20" s="9"/>
      <c r="E20" s="9"/>
      <c r="F20" s="9"/>
      <c r="G20" s="10"/>
      <c r="H20" s="10"/>
      <c r="I20" s="9"/>
      <c r="J20" s="10"/>
      <c r="K20" s="11"/>
      <c r="L20" s="10" t="str">
        <f t="shared" si="0"/>
        <v/>
      </c>
      <c r="M20" s="12" t="str">
        <f t="shared" ca="1" si="1"/>
        <v/>
      </c>
      <c r="N20" s="9"/>
      <c r="O20" s="9"/>
      <c r="P20" s="13"/>
    </row>
    <row r="21" spans="1:16" x14ac:dyDescent="0.2">
      <c r="A21" s="9"/>
      <c r="B21" s="9"/>
      <c r="C21" s="9"/>
      <c r="D21" s="9"/>
      <c r="E21" s="9"/>
      <c r="F21" s="9"/>
      <c r="G21" s="10"/>
      <c r="H21" s="10"/>
      <c r="I21" s="9"/>
      <c r="J21" s="10"/>
      <c r="K21" s="11"/>
      <c r="L21" s="10" t="str">
        <f t="shared" si="0"/>
        <v/>
      </c>
      <c r="M21" s="12" t="str">
        <f t="shared" ca="1" si="1"/>
        <v/>
      </c>
      <c r="N21" s="9"/>
      <c r="O21" s="9"/>
      <c r="P21" s="13"/>
    </row>
    <row r="22" spans="1:16" x14ac:dyDescent="0.2">
      <c r="A22" s="9"/>
      <c r="B22" s="9"/>
      <c r="C22" s="9"/>
      <c r="D22" s="9"/>
      <c r="E22" s="9"/>
      <c r="F22" s="9"/>
      <c r="G22" s="10"/>
      <c r="H22" s="10"/>
      <c r="I22" s="9"/>
      <c r="J22" s="10"/>
      <c r="K22" s="11"/>
      <c r="L22" s="10" t="str">
        <f t="shared" si="0"/>
        <v/>
      </c>
      <c r="M22" s="12" t="str">
        <f t="shared" ca="1" si="1"/>
        <v/>
      </c>
      <c r="N22" s="9"/>
      <c r="O22" s="9"/>
      <c r="P22" s="13"/>
    </row>
    <row r="23" spans="1:16" x14ac:dyDescent="0.2">
      <c r="A23" s="9"/>
      <c r="B23" s="9"/>
      <c r="C23" s="9"/>
      <c r="D23" s="9"/>
      <c r="E23" s="9"/>
      <c r="F23" s="9"/>
      <c r="G23" s="10"/>
      <c r="H23" s="10"/>
      <c r="I23" s="9"/>
      <c r="J23" s="10"/>
      <c r="K23" s="11"/>
      <c r="L23" s="10" t="str">
        <f t="shared" si="0"/>
        <v/>
      </c>
      <c r="M23" s="12" t="str">
        <f t="shared" ca="1" si="1"/>
        <v/>
      </c>
      <c r="N23" s="9"/>
      <c r="O23" s="9"/>
      <c r="P23" s="13"/>
    </row>
    <row r="24" spans="1:16" x14ac:dyDescent="0.2">
      <c r="A24" s="9"/>
      <c r="B24" s="9"/>
      <c r="C24" s="9"/>
      <c r="D24" s="9"/>
      <c r="E24" s="9"/>
      <c r="F24" s="9"/>
      <c r="G24" s="10"/>
      <c r="H24" s="10"/>
      <c r="I24" s="9"/>
      <c r="J24" s="10"/>
      <c r="K24" s="11"/>
      <c r="L24" s="10" t="str">
        <f t="shared" si="0"/>
        <v/>
      </c>
      <c r="M24" s="12" t="str">
        <f t="shared" ca="1" si="1"/>
        <v/>
      </c>
      <c r="N24" s="9"/>
      <c r="O24" s="9"/>
      <c r="P24" s="13"/>
    </row>
    <row r="25" spans="1:16" x14ac:dyDescent="0.2">
      <c r="A25" s="9"/>
      <c r="B25" s="9"/>
      <c r="C25" s="9"/>
      <c r="D25" s="9"/>
      <c r="E25" s="9"/>
      <c r="F25" s="9"/>
      <c r="G25" s="10"/>
      <c r="H25" s="10"/>
      <c r="I25" s="9"/>
      <c r="J25" s="10"/>
      <c r="K25" s="11"/>
      <c r="L25" s="10" t="str">
        <f t="shared" si="0"/>
        <v/>
      </c>
      <c r="M25" s="12" t="str">
        <f t="shared" ca="1" si="1"/>
        <v/>
      </c>
      <c r="N25" s="9"/>
      <c r="O25" s="9"/>
      <c r="P25" s="13"/>
    </row>
    <row r="26" spans="1:16" x14ac:dyDescent="0.2">
      <c r="A26" s="9"/>
      <c r="B26" s="9"/>
      <c r="C26" s="9"/>
      <c r="D26" s="9"/>
      <c r="E26" s="9"/>
      <c r="F26" s="9"/>
      <c r="G26" s="10"/>
      <c r="H26" s="10"/>
      <c r="I26" s="9"/>
      <c r="J26" s="10"/>
      <c r="K26" s="11"/>
      <c r="L26" s="10" t="str">
        <f t="shared" si="0"/>
        <v/>
      </c>
      <c r="M26" s="12" t="str">
        <f t="shared" ca="1" si="1"/>
        <v/>
      </c>
      <c r="N26" s="9"/>
      <c r="O26" s="9"/>
      <c r="P26" s="13"/>
    </row>
    <row r="27" spans="1:16" x14ac:dyDescent="0.2">
      <c r="A27" s="9"/>
      <c r="B27" s="9"/>
      <c r="C27" s="9"/>
      <c r="D27" s="9"/>
      <c r="E27" s="9"/>
      <c r="F27" s="9"/>
      <c r="G27" s="10"/>
      <c r="H27" s="10"/>
      <c r="I27" s="9"/>
      <c r="J27" s="10"/>
      <c r="K27" s="11"/>
      <c r="L27" s="10" t="str">
        <f t="shared" si="0"/>
        <v/>
      </c>
      <c r="M27" s="12" t="str">
        <f t="shared" ca="1" si="1"/>
        <v/>
      </c>
      <c r="N27" s="9"/>
      <c r="O27" s="9"/>
      <c r="P27" s="13"/>
    </row>
    <row r="28" spans="1:16" x14ac:dyDescent="0.2">
      <c r="A28" s="9"/>
      <c r="B28" s="9"/>
      <c r="C28" s="9"/>
      <c r="D28" s="9"/>
      <c r="E28" s="9"/>
      <c r="F28" s="9"/>
      <c r="G28" s="10"/>
      <c r="H28" s="10"/>
      <c r="I28" s="9"/>
      <c r="J28" s="10"/>
      <c r="K28" s="11"/>
      <c r="L28" s="10" t="str">
        <f t="shared" si="0"/>
        <v/>
      </c>
      <c r="M28" s="12" t="str">
        <f t="shared" ca="1" si="1"/>
        <v/>
      </c>
      <c r="N28" s="9"/>
      <c r="O28" s="9"/>
      <c r="P28" s="13"/>
    </row>
    <row r="29" spans="1:16" x14ac:dyDescent="0.2">
      <c r="A29" s="9"/>
      <c r="B29" s="9"/>
      <c r="C29" s="9"/>
      <c r="D29" s="9"/>
      <c r="E29" s="9"/>
      <c r="F29" s="9"/>
      <c r="G29" s="10"/>
      <c r="H29" s="10"/>
      <c r="I29" s="9"/>
      <c r="J29" s="10"/>
      <c r="K29" s="11"/>
      <c r="L29" s="10" t="str">
        <f t="shared" si="0"/>
        <v/>
      </c>
      <c r="M29" s="12" t="str">
        <f t="shared" ca="1" si="1"/>
        <v/>
      </c>
      <c r="N29" s="9"/>
      <c r="O29" s="9"/>
      <c r="P29" s="13"/>
    </row>
    <row r="30" spans="1:16" x14ac:dyDescent="0.2">
      <c r="A30" s="9"/>
      <c r="B30" s="9"/>
      <c r="C30" s="9"/>
      <c r="D30" s="9"/>
      <c r="E30" s="9"/>
      <c r="F30" s="9"/>
      <c r="G30" s="10"/>
      <c r="H30" s="10"/>
      <c r="I30" s="9"/>
      <c r="J30" s="10"/>
      <c r="K30" s="11"/>
      <c r="L30" s="10" t="str">
        <f t="shared" si="0"/>
        <v/>
      </c>
      <c r="M30" s="12" t="str">
        <f t="shared" ca="1" si="1"/>
        <v/>
      </c>
      <c r="N30" s="9"/>
      <c r="O30" s="9"/>
      <c r="P30" s="13"/>
    </row>
    <row r="31" spans="1:16" x14ac:dyDescent="0.2">
      <c r="A31" s="9"/>
      <c r="B31" s="9"/>
      <c r="C31" s="9"/>
      <c r="D31" s="9"/>
      <c r="E31" s="9"/>
      <c r="F31" s="9"/>
      <c r="G31" s="10"/>
      <c r="H31" s="10"/>
      <c r="I31" s="9"/>
      <c r="J31" s="10"/>
      <c r="K31" s="11"/>
      <c r="L31" s="10" t="str">
        <f t="shared" si="0"/>
        <v/>
      </c>
      <c r="M31" s="12" t="str">
        <f t="shared" ca="1" si="1"/>
        <v/>
      </c>
      <c r="N31" s="9"/>
      <c r="O31" s="9"/>
      <c r="P31" s="13"/>
    </row>
    <row r="32" spans="1:16" x14ac:dyDescent="0.2">
      <c r="A32" s="9"/>
      <c r="B32" s="9"/>
      <c r="C32" s="9"/>
      <c r="D32" s="9"/>
      <c r="E32" s="9"/>
      <c r="F32" s="9"/>
      <c r="G32" s="10"/>
      <c r="H32" s="10"/>
      <c r="I32" s="9"/>
      <c r="J32" s="10"/>
      <c r="K32" s="11"/>
      <c r="L32" s="10" t="str">
        <f t="shared" si="0"/>
        <v/>
      </c>
      <c r="M32" s="12" t="str">
        <f t="shared" ca="1" si="1"/>
        <v/>
      </c>
      <c r="N32" s="9"/>
      <c r="O32" s="9"/>
      <c r="P32" s="13"/>
    </row>
    <row r="33" spans="1:16" x14ac:dyDescent="0.2">
      <c r="A33" s="9"/>
      <c r="B33" s="9"/>
      <c r="C33" s="9"/>
      <c r="D33" s="9"/>
      <c r="E33" s="9"/>
      <c r="F33" s="9"/>
      <c r="G33" s="10"/>
      <c r="H33" s="10"/>
      <c r="I33" s="9"/>
      <c r="J33" s="10"/>
      <c r="K33" s="11"/>
      <c r="L33" s="10" t="str">
        <f t="shared" si="0"/>
        <v/>
      </c>
      <c r="M33" s="12" t="str">
        <f t="shared" ca="1" si="1"/>
        <v/>
      </c>
      <c r="N33" s="9"/>
      <c r="O33" s="9"/>
      <c r="P33" s="13"/>
    </row>
    <row r="34" spans="1:16" x14ac:dyDescent="0.2">
      <c r="A34" s="9"/>
      <c r="B34" s="9"/>
      <c r="C34" s="9"/>
      <c r="D34" s="9"/>
      <c r="E34" s="9"/>
      <c r="F34" s="9"/>
      <c r="G34" s="10"/>
      <c r="H34" s="10"/>
      <c r="I34" s="9"/>
      <c r="J34" s="10"/>
      <c r="K34" s="11"/>
      <c r="L34" s="10" t="str">
        <f t="shared" si="0"/>
        <v/>
      </c>
      <c r="M34" s="12" t="str">
        <f t="shared" ca="1" si="1"/>
        <v/>
      </c>
      <c r="N34" s="9"/>
      <c r="O34" s="9"/>
      <c r="P34" s="13"/>
    </row>
    <row r="35" spans="1:16" x14ac:dyDescent="0.2">
      <c r="A35" s="9"/>
      <c r="B35" s="9"/>
      <c r="C35" s="9"/>
      <c r="D35" s="9"/>
      <c r="E35" s="9"/>
      <c r="F35" s="9"/>
      <c r="G35" s="10"/>
      <c r="H35" s="10"/>
      <c r="I35" s="9"/>
      <c r="J35" s="10"/>
      <c r="K35" s="11"/>
      <c r="L35" s="10" t="str">
        <f t="shared" si="0"/>
        <v/>
      </c>
      <c r="M35" s="12" t="str">
        <f t="shared" ca="1" si="1"/>
        <v/>
      </c>
      <c r="N35" s="9"/>
      <c r="O35" s="9"/>
      <c r="P35" s="13"/>
    </row>
    <row r="36" spans="1:16" x14ac:dyDescent="0.2">
      <c r="A36" s="9"/>
      <c r="B36" s="9"/>
      <c r="C36" s="9"/>
      <c r="D36" s="9"/>
      <c r="E36" s="9"/>
      <c r="F36" s="9"/>
      <c r="G36" s="10"/>
      <c r="H36" s="10"/>
      <c r="I36" s="9"/>
      <c r="J36" s="10"/>
      <c r="K36" s="11"/>
      <c r="L36" s="10" t="str">
        <f t="shared" si="0"/>
        <v/>
      </c>
      <c r="M36" s="12" t="str">
        <f t="shared" ca="1" si="1"/>
        <v/>
      </c>
      <c r="N36" s="9"/>
      <c r="O36" s="9"/>
      <c r="P36" s="13"/>
    </row>
    <row r="37" spans="1:16" x14ac:dyDescent="0.2">
      <c r="A37" s="9"/>
      <c r="B37" s="9"/>
      <c r="C37" s="9"/>
      <c r="D37" s="9"/>
      <c r="E37" s="9"/>
      <c r="F37" s="9"/>
      <c r="G37" s="10"/>
      <c r="H37" s="10"/>
      <c r="I37" s="9"/>
      <c r="J37" s="10"/>
      <c r="K37" s="11"/>
      <c r="L37" s="10" t="str">
        <f t="shared" ref="L37:L68" si="2">IF(OR(J37="",K37=""),"",EDATE(J37,K37))</f>
        <v/>
      </c>
      <c r="M37" s="12" t="str">
        <f t="shared" ref="M37:M68" ca="1" si="3">IF(L37="","",L37-TODAY())</f>
        <v/>
      </c>
      <c r="N37" s="9"/>
      <c r="O37" s="9"/>
      <c r="P37" s="13"/>
    </row>
    <row r="38" spans="1:16" x14ac:dyDescent="0.2">
      <c r="A38" s="9"/>
      <c r="B38" s="9"/>
      <c r="C38" s="9"/>
      <c r="D38" s="9"/>
      <c r="E38" s="9"/>
      <c r="F38" s="9"/>
      <c r="G38" s="10"/>
      <c r="H38" s="10"/>
      <c r="I38" s="9"/>
      <c r="J38" s="10"/>
      <c r="K38" s="11"/>
      <c r="L38" s="10" t="str">
        <f t="shared" si="2"/>
        <v/>
      </c>
      <c r="M38" s="12" t="str">
        <f t="shared" ca="1" si="3"/>
        <v/>
      </c>
      <c r="N38" s="9"/>
      <c r="O38" s="9"/>
      <c r="P38" s="13"/>
    </row>
    <row r="39" spans="1:16" x14ac:dyDescent="0.2">
      <c r="A39" s="9"/>
      <c r="B39" s="9"/>
      <c r="C39" s="9"/>
      <c r="D39" s="9"/>
      <c r="E39" s="9"/>
      <c r="F39" s="9"/>
      <c r="G39" s="10"/>
      <c r="H39" s="10"/>
      <c r="I39" s="9"/>
      <c r="J39" s="10"/>
      <c r="K39" s="11"/>
      <c r="L39" s="10" t="str">
        <f t="shared" si="2"/>
        <v/>
      </c>
      <c r="M39" s="12" t="str">
        <f t="shared" ca="1" si="3"/>
        <v/>
      </c>
      <c r="N39" s="9"/>
      <c r="O39" s="9"/>
      <c r="P39" s="13"/>
    </row>
    <row r="40" spans="1:16" x14ac:dyDescent="0.2">
      <c r="A40" s="9"/>
      <c r="B40" s="9"/>
      <c r="C40" s="9"/>
      <c r="D40" s="9"/>
      <c r="E40" s="9"/>
      <c r="F40" s="9"/>
      <c r="G40" s="10"/>
      <c r="H40" s="10"/>
      <c r="I40" s="9"/>
      <c r="J40" s="10"/>
      <c r="K40" s="11"/>
      <c r="L40" s="10" t="str">
        <f t="shared" si="2"/>
        <v/>
      </c>
      <c r="M40" s="12" t="str">
        <f t="shared" ca="1" si="3"/>
        <v/>
      </c>
      <c r="N40" s="9"/>
      <c r="O40" s="9"/>
      <c r="P40" s="13"/>
    </row>
    <row r="41" spans="1:16" x14ac:dyDescent="0.2">
      <c r="A41" s="9"/>
      <c r="B41" s="9"/>
      <c r="C41" s="9"/>
      <c r="D41" s="9"/>
      <c r="E41" s="9"/>
      <c r="F41" s="9"/>
      <c r="G41" s="10"/>
      <c r="H41" s="10"/>
      <c r="I41" s="9"/>
      <c r="J41" s="10"/>
      <c r="K41" s="11"/>
      <c r="L41" s="10" t="str">
        <f t="shared" si="2"/>
        <v/>
      </c>
      <c r="M41" s="12" t="str">
        <f t="shared" ca="1" si="3"/>
        <v/>
      </c>
      <c r="N41" s="9"/>
      <c r="O41" s="9"/>
      <c r="P41" s="13"/>
    </row>
    <row r="42" spans="1:16" x14ac:dyDescent="0.2">
      <c r="A42" s="9"/>
      <c r="B42" s="9"/>
      <c r="C42" s="9"/>
      <c r="D42" s="9"/>
      <c r="E42" s="9"/>
      <c r="F42" s="9"/>
      <c r="G42" s="10"/>
      <c r="H42" s="10"/>
      <c r="I42" s="9"/>
      <c r="J42" s="10"/>
      <c r="K42" s="11"/>
      <c r="L42" s="10" t="str">
        <f t="shared" si="2"/>
        <v/>
      </c>
      <c r="M42" s="12" t="str">
        <f t="shared" ca="1" si="3"/>
        <v/>
      </c>
      <c r="N42" s="9"/>
      <c r="O42" s="9"/>
      <c r="P42" s="13"/>
    </row>
    <row r="43" spans="1:16" x14ac:dyDescent="0.2">
      <c r="A43" s="9"/>
      <c r="B43" s="9"/>
      <c r="C43" s="9"/>
      <c r="D43" s="9"/>
      <c r="E43" s="9"/>
      <c r="F43" s="9"/>
      <c r="G43" s="10"/>
      <c r="H43" s="10"/>
      <c r="I43" s="9"/>
      <c r="J43" s="10"/>
      <c r="K43" s="11"/>
      <c r="L43" s="10" t="str">
        <f t="shared" si="2"/>
        <v/>
      </c>
      <c r="M43" s="12" t="str">
        <f t="shared" ca="1" si="3"/>
        <v/>
      </c>
      <c r="N43" s="9"/>
      <c r="O43" s="9"/>
      <c r="P43" s="13"/>
    </row>
    <row r="44" spans="1:16" x14ac:dyDescent="0.2">
      <c r="A44" s="9"/>
      <c r="B44" s="9"/>
      <c r="C44" s="9"/>
      <c r="D44" s="9"/>
      <c r="E44" s="9"/>
      <c r="F44" s="9"/>
      <c r="G44" s="10"/>
      <c r="H44" s="10"/>
      <c r="I44" s="9"/>
      <c r="J44" s="10"/>
      <c r="K44" s="11"/>
      <c r="L44" s="10" t="str">
        <f t="shared" si="2"/>
        <v/>
      </c>
      <c r="M44" s="12" t="str">
        <f t="shared" ca="1" si="3"/>
        <v/>
      </c>
      <c r="N44" s="9"/>
      <c r="O44" s="9"/>
      <c r="P44" s="13"/>
    </row>
    <row r="45" spans="1:16" x14ac:dyDescent="0.2">
      <c r="A45" s="9"/>
      <c r="B45" s="9"/>
      <c r="C45" s="9"/>
      <c r="D45" s="9"/>
      <c r="E45" s="9"/>
      <c r="F45" s="9"/>
      <c r="G45" s="10"/>
      <c r="H45" s="10"/>
      <c r="I45" s="9"/>
      <c r="J45" s="10"/>
      <c r="K45" s="11"/>
      <c r="L45" s="10" t="str">
        <f t="shared" si="2"/>
        <v/>
      </c>
      <c r="M45" s="12" t="str">
        <f t="shared" ca="1" si="3"/>
        <v/>
      </c>
      <c r="N45" s="9"/>
      <c r="O45" s="9"/>
      <c r="P45" s="13"/>
    </row>
    <row r="46" spans="1:16" x14ac:dyDescent="0.2">
      <c r="A46" s="9"/>
      <c r="B46" s="9"/>
      <c r="C46" s="9"/>
      <c r="D46" s="9"/>
      <c r="E46" s="9"/>
      <c r="F46" s="9"/>
      <c r="G46" s="10"/>
      <c r="H46" s="10"/>
      <c r="I46" s="9"/>
      <c r="J46" s="10"/>
      <c r="K46" s="11"/>
      <c r="L46" s="10" t="str">
        <f t="shared" si="2"/>
        <v/>
      </c>
      <c r="M46" s="12" t="str">
        <f t="shared" ca="1" si="3"/>
        <v/>
      </c>
      <c r="N46" s="9"/>
      <c r="O46" s="9"/>
      <c r="P46" s="13"/>
    </row>
    <row r="47" spans="1:16" x14ac:dyDescent="0.2">
      <c r="A47" s="9"/>
      <c r="B47" s="9"/>
      <c r="C47" s="9"/>
      <c r="D47" s="9"/>
      <c r="E47" s="9"/>
      <c r="F47" s="9"/>
      <c r="G47" s="10"/>
      <c r="H47" s="10"/>
      <c r="I47" s="9"/>
      <c r="J47" s="10"/>
      <c r="K47" s="11"/>
      <c r="L47" s="10" t="str">
        <f t="shared" si="2"/>
        <v/>
      </c>
      <c r="M47" s="12" t="str">
        <f t="shared" ca="1" si="3"/>
        <v/>
      </c>
      <c r="N47" s="9"/>
      <c r="O47" s="9"/>
      <c r="P47" s="13"/>
    </row>
    <row r="48" spans="1:16" x14ac:dyDescent="0.2">
      <c r="A48" s="9"/>
      <c r="B48" s="9"/>
      <c r="C48" s="9"/>
      <c r="D48" s="9"/>
      <c r="E48" s="9"/>
      <c r="F48" s="9"/>
      <c r="G48" s="10"/>
      <c r="H48" s="10"/>
      <c r="I48" s="9"/>
      <c r="J48" s="10"/>
      <c r="K48" s="11"/>
      <c r="L48" s="10" t="str">
        <f t="shared" si="2"/>
        <v/>
      </c>
      <c r="M48" s="12" t="str">
        <f t="shared" ca="1" si="3"/>
        <v/>
      </c>
      <c r="N48" s="9"/>
      <c r="O48" s="9"/>
      <c r="P48" s="13"/>
    </row>
    <row r="49" spans="1:16" x14ac:dyDescent="0.2">
      <c r="A49" s="9"/>
      <c r="B49" s="9"/>
      <c r="C49" s="9"/>
      <c r="D49" s="9"/>
      <c r="E49" s="9"/>
      <c r="F49" s="9"/>
      <c r="G49" s="10"/>
      <c r="H49" s="10"/>
      <c r="I49" s="9"/>
      <c r="J49" s="10"/>
      <c r="K49" s="11"/>
      <c r="L49" s="10" t="str">
        <f t="shared" si="2"/>
        <v/>
      </c>
      <c r="M49" s="12" t="str">
        <f t="shared" ca="1" si="3"/>
        <v/>
      </c>
      <c r="N49" s="9"/>
      <c r="O49" s="9"/>
      <c r="P49" s="13"/>
    </row>
    <row r="50" spans="1:16" x14ac:dyDescent="0.2">
      <c r="A50" s="9"/>
      <c r="B50" s="9"/>
      <c r="C50" s="9"/>
      <c r="D50" s="9"/>
      <c r="E50" s="9"/>
      <c r="F50" s="9"/>
      <c r="G50" s="10"/>
      <c r="H50" s="10"/>
      <c r="I50" s="9"/>
      <c r="J50" s="10"/>
      <c r="K50" s="11"/>
      <c r="L50" s="10" t="str">
        <f t="shared" si="2"/>
        <v/>
      </c>
      <c r="M50" s="12" t="str">
        <f t="shared" ca="1" si="3"/>
        <v/>
      </c>
      <c r="N50" s="9"/>
      <c r="O50" s="9"/>
      <c r="P50" s="13"/>
    </row>
    <row r="51" spans="1:16" x14ac:dyDescent="0.2">
      <c r="A51" s="9"/>
      <c r="B51" s="9"/>
      <c r="C51" s="9"/>
      <c r="D51" s="9"/>
      <c r="E51" s="9"/>
      <c r="F51" s="9"/>
      <c r="G51" s="10"/>
      <c r="H51" s="10"/>
      <c r="I51" s="9"/>
      <c r="J51" s="10"/>
      <c r="K51" s="11"/>
      <c r="L51" s="10" t="str">
        <f t="shared" si="2"/>
        <v/>
      </c>
      <c r="M51" s="12" t="str">
        <f t="shared" ca="1" si="3"/>
        <v/>
      </c>
      <c r="N51" s="9"/>
      <c r="O51" s="9"/>
      <c r="P51" s="13"/>
    </row>
    <row r="52" spans="1:16" x14ac:dyDescent="0.2">
      <c r="A52" s="9"/>
      <c r="B52" s="9"/>
      <c r="C52" s="9"/>
      <c r="D52" s="9"/>
      <c r="E52" s="9"/>
      <c r="F52" s="9"/>
      <c r="G52" s="10"/>
      <c r="H52" s="10"/>
      <c r="I52" s="9"/>
      <c r="J52" s="10"/>
      <c r="K52" s="11"/>
      <c r="L52" s="10" t="str">
        <f t="shared" si="2"/>
        <v/>
      </c>
      <c r="M52" s="12" t="str">
        <f t="shared" ca="1" si="3"/>
        <v/>
      </c>
      <c r="N52" s="9"/>
      <c r="O52" s="9"/>
      <c r="P52" s="13"/>
    </row>
    <row r="53" spans="1:16" x14ac:dyDescent="0.2">
      <c r="A53" s="9"/>
      <c r="B53" s="9"/>
      <c r="C53" s="9"/>
      <c r="D53" s="9"/>
      <c r="E53" s="9"/>
      <c r="F53" s="9"/>
      <c r="G53" s="10"/>
      <c r="H53" s="10"/>
      <c r="I53" s="9"/>
      <c r="J53" s="10"/>
      <c r="K53" s="11"/>
      <c r="L53" s="10" t="str">
        <f t="shared" si="2"/>
        <v/>
      </c>
      <c r="M53" s="12" t="str">
        <f t="shared" ca="1" si="3"/>
        <v/>
      </c>
      <c r="N53" s="9"/>
      <c r="O53" s="9"/>
      <c r="P53" s="13"/>
    </row>
    <row r="54" spans="1:16" x14ac:dyDescent="0.2">
      <c r="A54" s="9"/>
      <c r="B54" s="9"/>
      <c r="C54" s="9"/>
      <c r="D54" s="9"/>
      <c r="E54" s="9"/>
      <c r="F54" s="9"/>
      <c r="G54" s="10"/>
      <c r="H54" s="10"/>
      <c r="I54" s="9"/>
      <c r="J54" s="10"/>
      <c r="K54" s="11"/>
      <c r="L54" s="10" t="str">
        <f t="shared" si="2"/>
        <v/>
      </c>
      <c r="M54" s="12" t="str">
        <f t="shared" ca="1" si="3"/>
        <v/>
      </c>
      <c r="N54" s="9"/>
      <c r="O54" s="9"/>
      <c r="P54" s="13"/>
    </row>
    <row r="55" spans="1:16" x14ac:dyDescent="0.2">
      <c r="A55" s="9"/>
      <c r="B55" s="9"/>
      <c r="C55" s="9"/>
      <c r="D55" s="9"/>
      <c r="E55" s="9"/>
      <c r="F55" s="9"/>
      <c r="G55" s="10"/>
      <c r="H55" s="10"/>
      <c r="I55" s="9"/>
      <c r="J55" s="10"/>
      <c r="K55" s="11"/>
      <c r="L55" s="10" t="str">
        <f t="shared" si="2"/>
        <v/>
      </c>
      <c r="M55" s="12" t="str">
        <f t="shared" ca="1" si="3"/>
        <v/>
      </c>
      <c r="N55" s="9"/>
      <c r="O55" s="9"/>
      <c r="P55" s="13"/>
    </row>
    <row r="56" spans="1:16" x14ac:dyDescent="0.2">
      <c r="A56" s="9"/>
      <c r="B56" s="9"/>
      <c r="C56" s="9"/>
      <c r="D56" s="9"/>
      <c r="E56" s="9"/>
      <c r="F56" s="9"/>
      <c r="G56" s="10"/>
      <c r="H56" s="10"/>
      <c r="I56" s="9"/>
      <c r="J56" s="10"/>
      <c r="K56" s="11"/>
      <c r="L56" s="10" t="str">
        <f t="shared" si="2"/>
        <v/>
      </c>
      <c r="M56" s="12" t="str">
        <f t="shared" ca="1" si="3"/>
        <v/>
      </c>
      <c r="N56" s="9"/>
      <c r="O56" s="9"/>
      <c r="P56" s="13"/>
    </row>
    <row r="57" spans="1:16" x14ac:dyDescent="0.2">
      <c r="A57" s="9"/>
      <c r="B57" s="9"/>
      <c r="C57" s="9"/>
      <c r="D57" s="9"/>
      <c r="E57" s="9"/>
      <c r="F57" s="9"/>
      <c r="G57" s="10"/>
      <c r="H57" s="10"/>
      <c r="I57" s="9"/>
      <c r="J57" s="10"/>
      <c r="K57" s="11"/>
      <c r="L57" s="10" t="str">
        <f t="shared" si="2"/>
        <v/>
      </c>
      <c r="M57" s="12" t="str">
        <f t="shared" ca="1" si="3"/>
        <v/>
      </c>
      <c r="N57" s="9"/>
      <c r="O57" s="9"/>
      <c r="P57" s="13"/>
    </row>
    <row r="58" spans="1:16" x14ac:dyDescent="0.2">
      <c r="A58" s="9"/>
      <c r="B58" s="9"/>
      <c r="C58" s="9"/>
      <c r="D58" s="9"/>
      <c r="E58" s="9"/>
      <c r="F58" s="9"/>
      <c r="G58" s="10"/>
      <c r="H58" s="10"/>
      <c r="I58" s="9"/>
      <c r="J58" s="10"/>
      <c r="K58" s="11"/>
      <c r="L58" s="10" t="str">
        <f t="shared" si="2"/>
        <v/>
      </c>
      <c r="M58" s="12" t="str">
        <f t="shared" ca="1" si="3"/>
        <v/>
      </c>
      <c r="N58" s="9"/>
      <c r="O58" s="9"/>
      <c r="P58" s="13"/>
    </row>
    <row r="59" spans="1:16" x14ac:dyDescent="0.2">
      <c r="A59" s="9"/>
      <c r="B59" s="9"/>
      <c r="C59" s="9"/>
      <c r="D59" s="9"/>
      <c r="E59" s="9"/>
      <c r="F59" s="9"/>
      <c r="G59" s="10"/>
      <c r="H59" s="10"/>
      <c r="I59" s="9"/>
      <c r="J59" s="10"/>
      <c r="K59" s="11"/>
      <c r="L59" s="10" t="str">
        <f t="shared" si="2"/>
        <v/>
      </c>
      <c r="M59" s="12" t="str">
        <f t="shared" ca="1" si="3"/>
        <v/>
      </c>
      <c r="N59" s="9"/>
      <c r="O59" s="9"/>
      <c r="P59" s="13"/>
    </row>
    <row r="60" spans="1:16" x14ac:dyDescent="0.2">
      <c r="A60" s="9"/>
      <c r="B60" s="9"/>
      <c r="C60" s="9"/>
      <c r="D60" s="9"/>
      <c r="E60" s="9"/>
      <c r="F60" s="9"/>
      <c r="G60" s="10"/>
      <c r="H60" s="10"/>
      <c r="I60" s="9"/>
      <c r="J60" s="10"/>
      <c r="K60" s="11"/>
      <c r="L60" s="10" t="str">
        <f t="shared" si="2"/>
        <v/>
      </c>
      <c r="M60" s="12" t="str">
        <f t="shared" ca="1" si="3"/>
        <v/>
      </c>
      <c r="N60" s="9"/>
      <c r="O60" s="9"/>
      <c r="P60" s="13"/>
    </row>
    <row r="61" spans="1:16" x14ac:dyDescent="0.2">
      <c r="A61" s="9"/>
      <c r="B61" s="9"/>
      <c r="C61" s="9"/>
      <c r="D61" s="9"/>
      <c r="E61" s="9"/>
      <c r="F61" s="9"/>
      <c r="G61" s="10"/>
      <c r="H61" s="10"/>
      <c r="I61" s="9"/>
      <c r="J61" s="10"/>
      <c r="K61" s="11"/>
      <c r="L61" s="10" t="str">
        <f t="shared" si="2"/>
        <v/>
      </c>
      <c r="M61" s="12" t="str">
        <f t="shared" ca="1" si="3"/>
        <v/>
      </c>
      <c r="N61" s="9"/>
      <c r="O61" s="9"/>
      <c r="P61" s="13"/>
    </row>
    <row r="62" spans="1:16" x14ac:dyDescent="0.2">
      <c r="A62" s="9"/>
      <c r="B62" s="9"/>
      <c r="C62" s="9"/>
      <c r="D62" s="9"/>
      <c r="E62" s="9"/>
      <c r="F62" s="9"/>
      <c r="G62" s="10"/>
      <c r="H62" s="10"/>
      <c r="I62" s="9"/>
      <c r="J62" s="10"/>
      <c r="K62" s="11"/>
      <c r="L62" s="10" t="str">
        <f t="shared" si="2"/>
        <v/>
      </c>
      <c r="M62" s="12" t="str">
        <f t="shared" ca="1" si="3"/>
        <v/>
      </c>
      <c r="N62" s="9"/>
      <c r="O62" s="9"/>
      <c r="P62" s="13"/>
    </row>
    <row r="63" spans="1:16" x14ac:dyDescent="0.2">
      <c r="A63" s="9"/>
      <c r="B63" s="9"/>
      <c r="C63" s="9"/>
      <c r="D63" s="9"/>
      <c r="E63" s="9"/>
      <c r="F63" s="9"/>
      <c r="G63" s="10"/>
      <c r="H63" s="10"/>
      <c r="I63" s="9"/>
      <c r="J63" s="10"/>
      <c r="K63" s="11"/>
      <c r="L63" s="10" t="str">
        <f t="shared" si="2"/>
        <v/>
      </c>
      <c r="M63" s="12" t="str">
        <f t="shared" ca="1" si="3"/>
        <v/>
      </c>
      <c r="N63" s="9"/>
      <c r="O63" s="9"/>
      <c r="P63" s="13"/>
    </row>
    <row r="64" spans="1:16" x14ac:dyDescent="0.2">
      <c r="A64" s="9"/>
      <c r="B64" s="9"/>
      <c r="C64" s="9"/>
      <c r="D64" s="9"/>
      <c r="E64" s="9"/>
      <c r="F64" s="9"/>
      <c r="G64" s="10"/>
      <c r="H64" s="10"/>
      <c r="I64" s="9"/>
      <c r="J64" s="10"/>
      <c r="K64" s="11"/>
      <c r="L64" s="10" t="str">
        <f t="shared" si="2"/>
        <v/>
      </c>
      <c r="M64" s="12" t="str">
        <f t="shared" ca="1" si="3"/>
        <v/>
      </c>
      <c r="N64" s="9"/>
      <c r="O64" s="9"/>
      <c r="P64" s="13"/>
    </row>
    <row r="66" spans="1:3" x14ac:dyDescent="0.2">
      <c r="A66" s="14" t="s">
        <v>28</v>
      </c>
      <c r="B66" s="15" t="s">
        <v>29</v>
      </c>
      <c r="C66" s="16" t="s">
        <v>30</v>
      </c>
    </row>
  </sheetData>
  <autoFilter ref="A4:P64" xr:uid="{00000000-0009-0000-0000-000000000000}"/>
  <mergeCells count="2">
    <mergeCell ref="D1:P1"/>
    <mergeCell ref="D2:P2"/>
  </mergeCells>
  <conditionalFormatting sqref="A5:P64">
    <cfRule type="expression" dxfId="5" priority="2">
      <formula>AND($L5&lt;&gt;"",$L5&lt;TODAY())</formula>
    </cfRule>
    <cfRule type="expression" dxfId="4" priority="3">
      <formula>AND($L5&lt;&gt;"",$L5&gt;=TODAY(),$L5&lt;=TODAY()+30)</formula>
    </cfRule>
  </conditionalFormatting>
  <conditionalFormatting sqref="O5:O64">
    <cfRule type="expression" dxfId="3" priority="4">
      <formula>OR($O5="Quarantined",$O5="Withdrawn",$O5="Destroyed")</formula>
    </cfRule>
    <cfRule type="expression" dxfId="2" priority="5">
      <formula>$O5="In Service"</formula>
    </cfRule>
  </conditionalFormatting>
  <dataValidations count="5">
    <dataValidation type="list" allowBlank="1" showErrorMessage="1" error="Select a value from the list" sqref="B5:B64" xr:uid="{00000000-0002-0000-0000-000000000000}">
      <formula1>"Full Body Harness,Fall Arrest Lanyard,Restraint Lanyard,Twin-Tail Lanyard,Work Positioning Lanyard,Pole Strap,Connector/Karabiner,Other"</formula1>
      <formula2>0</formula2>
    </dataValidation>
    <dataValidation type="list" allowBlank="1" showErrorMessage="1" error="Select a value from the list" sqref="F5:F64" xr:uid="{00000000-0002-0000-0000-000001000000}">
      <formula1>"EN 361,EN 354,EN 355,EN 358,EN 362,EN 795,Other"</formula1>
      <formula2>0</formula2>
    </dataValidation>
    <dataValidation type="list" allowBlank="1" showErrorMessage="1" error="Select a value from the list" sqref="K5:K64" xr:uid="{00000000-0002-0000-0000-000002000000}">
      <formula1>"3,6,12"</formula1>
      <formula2>0</formula2>
    </dataValidation>
    <dataValidation type="list" allowBlank="1" showErrorMessage="1" error="Select a value from the list" sqref="N5:N64" xr:uid="{00000000-0002-0000-0000-000003000000}">
      <formula1>"Pass,Fail,Monitor"</formula1>
      <formula2>0</formula2>
    </dataValidation>
    <dataValidation type="list" allowBlank="1" showErrorMessage="1" error="Select a value from the list" sqref="O5:O64" xr:uid="{00000000-0002-0000-0000-000004000000}">
      <formula1>"In Service,Quarantined,Withdrawn,Destroyed,Lost"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A1D1D"/>
    <pageSetUpPr fitToPage="1"/>
  </sheetPr>
  <dimension ref="A1:L53"/>
  <sheetViews>
    <sheetView showGridLines="0" tabSelected="1" zoomScaleNormal="100" workbookViewId="0">
      <pane xSplit="2" ySplit="11" topLeftCell="C17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8.6640625" defaultRowHeight="15" x14ac:dyDescent="0.2"/>
  <cols>
    <col min="1" max="1" width="30" customWidth="1"/>
    <col min="2" max="2" width="44" customWidth="1"/>
    <col min="3" max="12" width="13" customWidth="1"/>
  </cols>
  <sheetData>
    <row r="1" spans="1:12" ht="54.75" customHeight="1" x14ac:dyDescent="0.2">
      <c r="B1" s="5" t="s">
        <v>31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2">
      <c r="B2" s="4" t="s">
        <v>32</v>
      </c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19.5" customHeight="1" x14ac:dyDescent="0.2">
      <c r="A4" s="3" t="s">
        <v>2</v>
      </c>
      <c r="B4" s="3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 ht="19.5" customHeight="1" x14ac:dyDescent="0.2">
      <c r="A5" s="3" t="s">
        <v>6</v>
      </c>
      <c r="B5" s="3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 ht="19.5" customHeight="1" x14ac:dyDescent="0.2">
      <c r="A6" s="3" t="s">
        <v>3</v>
      </c>
      <c r="B6" s="3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19.5" customHeight="1" x14ac:dyDescent="0.2">
      <c r="A7" s="3" t="s">
        <v>33</v>
      </c>
      <c r="B7" s="3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9.5" customHeight="1" x14ac:dyDescent="0.2">
      <c r="A8" s="3" t="s">
        <v>34</v>
      </c>
      <c r="B8" s="3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2" ht="19.5" customHeight="1" x14ac:dyDescent="0.2">
      <c r="A9" s="3" t="s">
        <v>35</v>
      </c>
      <c r="B9" s="3"/>
      <c r="C9" s="17"/>
      <c r="D9" s="17"/>
      <c r="E9" s="17"/>
      <c r="F9" s="17"/>
      <c r="G9" s="17"/>
      <c r="H9" s="17"/>
      <c r="I9" s="17"/>
      <c r="J9" s="17"/>
      <c r="K9" s="17"/>
      <c r="L9" s="17"/>
    </row>
    <row r="11" spans="1:12" x14ac:dyDescent="0.2">
      <c r="A11" s="19" t="s">
        <v>36</v>
      </c>
      <c r="B11" s="19" t="s">
        <v>37</v>
      </c>
      <c r="C11" s="19" t="s">
        <v>38</v>
      </c>
      <c r="D11" s="19" t="s">
        <v>39</v>
      </c>
      <c r="E11" s="19" t="s">
        <v>40</v>
      </c>
      <c r="F11" s="19" t="s">
        <v>41</v>
      </c>
      <c r="G11" s="19" t="s">
        <v>42</v>
      </c>
      <c r="H11" s="19" t="s">
        <v>43</v>
      </c>
      <c r="I11" s="19" t="s">
        <v>44</v>
      </c>
      <c r="J11" s="19" t="s">
        <v>45</v>
      </c>
      <c r="K11" s="19" t="s">
        <v>46</v>
      </c>
      <c r="L11" s="19" t="s">
        <v>47</v>
      </c>
    </row>
    <row r="12" spans="1:12" x14ac:dyDescent="0.2">
      <c r="A12" s="2" t="s">
        <v>48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21.75" customHeight="1" x14ac:dyDescent="0.2">
      <c r="A13" s="20"/>
      <c r="B13" s="13" t="s">
        <v>49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ht="36" customHeight="1" x14ac:dyDescent="0.2">
      <c r="A14" s="20"/>
      <c r="B14" s="13" t="s">
        <v>50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36" customHeight="1" x14ac:dyDescent="0.2">
      <c r="A15" s="20"/>
      <c r="B15" s="13" t="s">
        <v>51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ht="36" customHeight="1" x14ac:dyDescent="0.2">
      <c r="A16" s="20"/>
      <c r="B16" s="13" t="s">
        <v>52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ht="21.75" customHeight="1" x14ac:dyDescent="0.2">
      <c r="A17" s="20"/>
      <c r="B17" s="13" t="s">
        <v>53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ht="21.75" customHeight="1" x14ac:dyDescent="0.2">
      <c r="A18" s="20"/>
      <c r="B18" s="13" t="s">
        <v>54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">
      <c r="A19" s="2" t="s">
        <v>55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1.75" customHeight="1" x14ac:dyDescent="0.2">
      <c r="A20" s="20"/>
      <c r="B20" s="13" t="s">
        <v>56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36" customHeight="1" x14ac:dyDescent="0.2">
      <c r="A21" s="20"/>
      <c r="B21" s="13" t="s">
        <v>57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ht="36" customHeight="1" x14ac:dyDescent="0.2">
      <c r="A22" s="20"/>
      <c r="B22" s="13" t="s">
        <v>58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2">
      <c r="A23" s="2" t="s">
        <v>59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1.75" customHeight="1" x14ac:dyDescent="0.2">
      <c r="A24" s="20"/>
      <c r="B24" s="13" t="s">
        <v>60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2" ht="21.75" customHeight="1" x14ac:dyDescent="0.2">
      <c r="A25" s="20"/>
      <c r="B25" s="13" t="s">
        <v>61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spans="1:12" ht="36" customHeight="1" x14ac:dyDescent="0.2">
      <c r="A26" s="20"/>
      <c r="B26" s="13" t="s">
        <v>62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spans="1:12" ht="36" customHeight="1" x14ac:dyDescent="0.2">
      <c r="A27" s="20"/>
      <c r="B27" s="13" t="s">
        <v>63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spans="1:12" x14ac:dyDescent="0.2">
      <c r="A28" s="2" t="s">
        <v>64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36" customHeight="1" x14ac:dyDescent="0.2">
      <c r="A29" s="20"/>
      <c r="B29" s="13" t="s">
        <v>65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 ht="36" customHeight="1" x14ac:dyDescent="0.2">
      <c r="A30" s="20"/>
      <c r="B30" s="13" t="s">
        <v>66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 ht="36" customHeight="1" x14ac:dyDescent="0.2">
      <c r="A31" s="20"/>
      <c r="B31" s="13" t="s">
        <v>67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 x14ac:dyDescent="0.2">
      <c r="A32" s="2" t="s">
        <v>68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36" customHeight="1" x14ac:dyDescent="0.2">
      <c r="A33" s="20"/>
      <c r="B33" s="13" t="s">
        <v>69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 ht="36" customHeight="1" x14ac:dyDescent="0.2">
      <c r="A34" s="20"/>
      <c r="B34" s="13" t="s">
        <v>70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 ht="36" customHeight="1" x14ac:dyDescent="0.2">
      <c r="A35" s="20"/>
      <c r="B35" s="13" t="s">
        <v>71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2" x14ac:dyDescent="0.2">
      <c r="A36" s="2" t="s">
        <v>72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36" customHeight="1" x14ac:dyDescent="0.2">
      <c r="A37" s="20"/>
      <c r="B37" s="13" t="s">
        <v>73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2" ht="21.75" customHeight="1" x14ac:dyDescent="0.2">
      <c r="A38" s="20"/>
      <c r="B38" s="13" t="s">
        <v>74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1:12" ht="36" customHeight="1" x14ac:dyDescent="0.2">
      <c r="A39" s="20"/>
      <c r="B39" s="13" t="s">
        <v>75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1:12" x14ac:dyDescent="0.2">
      <c r="A40" s="2" t="s">
        <v>76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1.75" customHeight="1" x14ac:dyDescent="0.2">
      <c r="A41" s="20"/>
      <c r="B41" s="13" t="s">
        <v>77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1:12" ht="36" customHeight="1" x14ac:dyDescent="0.2">
      <c r="A42" s="20"/>
      <c r="B42" s="13" t="s">
        <v>78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1:12" ht="36" customHeight="1" x14ac:dyDescent="0.2">
      <c r="A43" s="20"/>
      <c r="B43" s="13" t="s">
        <v>79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spans="1:12" x14ac:dyDescent="0.2">
      <c r="A44" s="2" t="s">
        <v>80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36" customHeight="1" x14ac:dyDescent="0.2">
      <c r="A45" s="20"/>
      <c r="B45" s="13" t="s">
        <v>81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1:12" ht="36" customHeight="1" x14ac:dyDescent="0.2">
      <c r="A46" s="20"/>
      <c r="B46" s="13" t="s">
        <v>82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1:12" ht="36" customHeight="1" x14ac:dyDescent="0.2">
      <c r="A47" s="20"/>
      <c r="B47" s="13" t="s">
        <v>83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9" spans="1:12" ht="19.5" customHeight="1" x14ac:dyDescent="0.2">
      <c r="A49" s="1" t="s">
        <v>84</v>
      </c>
      <c r="B49" s="1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9.5" customHeight="1" x14ac:dyDescent="0.2">
      <c r="A50" s="1" t="s">
        <v>13</v>
      </c>
      <c r="B50" s="1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ht="39.75" customHeight="1" x14ac:dyDescent="0.2">
      <c r="A51" s="1" t="s">
        <v>17</v>
      </c>
      <c r="B51" s="1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3" spans="1:12" x14ac:dyDescent="0.2">
      <c r="A53" s="22" t="s">
        <v>85</v>
      </c>
      <c r="B53" s="20"/>
    </row>
  </sheetData>
  <mergeCells count="19">
    <mergeCell ref="A44:L44"/>
    <mergeCell ref="A49:B49"/>
    <mergeCell ref="A50:B50"/>
    <mergeCell ref="A51:B51"/>
    <mergeCell ref="A23:L23"/>
    <mergeCell ref="A28:L28"/>
    <mergeCell ref="A32:L32"/>
    <mergeCell ref="A36:L36"/>
    <mergeCell ref="A40:L40"/>
    <mergeCell ref="A7:B7"/>
    <mergeCell ref="A8:B8"/>
    <mergeCell ref="A9:B9"/>
    <mergeCell ref="A12:L12"/>
    <mergeCell ref="A19:L19"/>
    <mergeCell ref="B1:L1"/>
    <mergeCell ref="B2:L2"/>
    <mergeCell ref="A4:B4"/>
    <mergeCell ref="A5:B5"/>
    <mergeCell ref="A6:B6"/>
  </mergeCells>
  <conditionalFormatting sqref="C49:L49">
    <cfRule type="expression" dxfId="1" priority="2">
      <formula>C49="FAIL"</formula>
    </cfRule>
    <cfRule type="expression" dxfId="0" priority="3">
      <formula>C49="PASS"</formula>
    </cfRule>
  </conditionalFormatting>
  <dataValidations count="3">
    <dataValidation type="list" allowBlank="1" sqref="C6:L6" xr:uid="{00000000-0002-0000-0100-000000000000}">
      <formula1>"Full Body Harness,Fall Arrest Lanyard,Restraint Lanyard,Twin-Tail Lanyard,Work Positioning Lanyard,Pole Strap,Connector/Karabiner,Other"</formula1>
      <formula2>0</formula2>
    </dataValidation>
    <dataValidation type="list" allowBlank="1" sqref="C13:L18 C20:L22 C24:L27 C29:L31 C33:L35 C37:L39 C41:L43 C45:L47" xr:uid="{00000000-0002-0000-0100-000001000000}">
      <formula1>"✓,✗,N/A"</formula1>
      <formula2>0</formula2>
    </dataValidation>
    <dataValidation type="list" allowBlank="1" sqref="C49:L49" xr:uid="{00000000-0002-0000-0100-000002000000}">
      <formula1>"PASS,FAIL,MONITOR"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  <pageSetUpPr fitToPage="1"/>
  </sheetPr>
  <dimension ref="A1:A17"/>
  <sheetViews>
    <sheetView showGridLines="0" zoomScaleNormal="100" workbookViewId="0"/>
  </sheetViews>
  <sheetFormatPr baseColWidth="10" defaultColWidth="8.6640625" defaultRowHeight="15" x14ac:dyDescent="0.2"/>
  <cols>
    <col min="1" max="1" width="95" customWidth="1"/>
  </cols>
  <sheetData>
    <row r="1" spans="1:1" ht="90" customHeight="1" x14ac:dyDescent="0.2"/>
    <row r="2" spans="1:1" ht="18" x14ac:dyDescent="0.2">
      <c r="A2" s="23" t="s">
        <v>86</v>
      </c>
    </row>
    <row r="4" spans="1:1" ht="15" customHeight="1" x14ac:dyDescent="0.2">
      <c r="A4" s="24" t="s">
        <v>87</v>
      </c>
    </row>
    <row r="5" spans="1:1" ht="27.75" customHeight="1" x14ac:dyDescent="0.2">
      <c r="A5" s="24" t="s">
        <v>88</v>
      </c>
    </row>
    <row r="6" spans="1:1" ht="42" customHeight="1" x14ac:dyDescent="0.2">
      <c r="A6" s="24" t="s">
        <v>89</v>
      </c>
    </row>
    <row r="7" spans="1:1" ht="27.75" customHeight="1" x14ac:dyDescent="0.2">
      <c r="A7" s="24" t="s">
        <v>90</v>
      </c>
    </row>
    <row r="8" spans="1:1" ht="15" customHeight="1" x14ac:dyDescent="0.2">
      <c r="A8" s="24"/>
    </row>
    <row r="9" spans="1:1" ht="15" customHeight="1" x14ac:dyDescent="0.2">
      <c r="A9" s="24" t="s">
        <v>91</v>
      </c>
    </row>
    <row r="10" spans="1:1" ht="15" customHeight="1" x14ac:dyDescent="0.2">
      <c r="A10" s="24" t="s">
        <v>92</v>
      </c>
    </row>
    <row r="11" spans="1:1" ht="27.75" customHeight="1" x14ac:dyDescent="0.2">
      <c r="A11" s="24" t="s">
        <v>93</v>
      </c>
    </row>
    <row r="12" spans="1:1" ht="27.75" customHeight="1" x14ac:dyDescent="0.2">
      <c r="A12" s="24" t="s">
        <v>94</v>
      </c>
    </row>
    <row r="13" spans="1:1" ht="27.75" customHeight="1" x14ac:dyDescent="0.2">
      <c r="A13" s="24" t="s">
        <v>95</v>
      </c>
    </row>
    <row r="14" spans="1:1" ht="15" customHeight="1" x14ac:dyDescent="0.2">
      <c r="A14" s="24"/>
    </row>
    <row r="15" spans="1:1" ht="55.5" customHeight="1" x14ac:dyDescent="0.2">
      <c r="A15" s="24" t="s">
        <v>96</v>
      </c>
    </row>
    <row r="16" spans="1:1" ht="15" customHeight="1" x14ac:dyDescent="0.2">
      <c r="A16" s="24"/>
    </row>
    <row r="17" spans="1:1" ht="42" customHeight="1" x14ac:dyDescent="0.2">
      <c r="A17" s="24" t="s">
        <v>97</v>
      </c>
    </row>
  </sheetData>
  <pageMargins left="0.4" right="0.4" top="0.5" bottom="0.5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Register</vt:lpstr>
      <vt:lpstr>Inspection Checklist</vt:lpstr>
      <vt:lpstr>Guidance</vt:lpstr>
      <vt:lpstr>Guidance!Print_Area</vt:lpstr>
      <vt:lpstr>'Inspection Checklist'!Print_Area</vt:lpstr>
      <vt:lpstr>Register!Print_Area</vt:lpstr>
      <vt:lpstr>'Inspection Checklist'!Print_Titles</vt:lpstr>
      <vt:lpstr>Register!Print_Titles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Harness &amp; Lanyard Register</dc:title>
  <dc:subject>Work at height PPE inspection register</dc:subject>
  <dc:creator>Man Projects Ltd</dc:creator>
  <dc:description/>
  <cp:lastModifiedBy>Man Projects</cp:lastModifiedBy>
  <cp:revision>0</cp:revision>
  <dcterms:created xsi:type="dcterms:W3CDTF">2026-07-05T10:58:12Z</dcterms:created>
  <dcterms:modified xsi:type="dcterms:W3CDTF">2026-07-05T10:59:01Z</dcterms:modified>
  <dc:language>en-US</dc:language>
</cp:coreProperties>
</file>